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aw_strength" sheetId="1" r:id="rId1"/>
    <sheet name="strength_adjusted_for_material" sheetId="2" r:id="rId5"/>
    <sheet name="expected_output" sheetId="3" r:id="rId6"/>
  </sheets>
  <calcPr calcId="122211"/>
</workbook>
</file>

<file path=xl/sharedStrings.xml><?xml version="1.0" encoding="utf-8"?>
<sst xmlns="http://schemas.openxmlformats.org/spreadsheetml/2006/main" count="23" uniqueCount="23">
  <si>
    <t>Daily</t>
  </si>
  <si>
    <t>Material</t>
  </si>
  <si>
    <t>Product</t>
  </si>
  <si>
    <t>Value</t>
  </si>
  <si>
    <t>Sunday</t>
  </si>
  <si>
    <t>Steel</t>
  </si>
  <si>
    <t>WidgetA</t>
  </si>
  <si>
    <t>Monday</t>
  </si>
  <si>
    <t>Tuesday</t>
  </si>
  <si>
    <t>Wednesday</t>
  </si>
  <si>
    <t>Thursday</t>
  </si>
  <si>
    <t>Friday</t>
  </si>
  <si>
    <t>Saturday</t>
  </si>
  <si>
    <t>Aluminum</t>
  </si>
  <si>
    <t>Copper</t>
  </si>
  <si>
    <t>WidgetB</t>
  </si>
  <si>
    <t>WidgetC</t>
  </si>
  <si>
    <t>key</t>
  </si>
  <si>
    <t>raw_strength</t>
  </si>
  <si>
    <t>Metric</t>
  </si>
  <si>
    <t>Computed Value</t>
  </si>
  <si>
    <t>Match</t>
  </si>
  <si>
    <t>product_strength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</si>
</sst>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v>1</v>
      </c>
    </row>
    <row r="3">
      <c r="A3" t="s">
        <v>7</v>
      </c>
      <c r="B3" t="s">
        <v>5</v>
      </c>
      <c r="C3" t="s">
        <v>6</v>
      </c>
      <c r="D3">
        <v>1</v>
      </c>
    </row>
    <row r="4">
      <c r="A4" t="s">
        <v>8</v>
      </c>
      <c r="B4" t="s">
        <v>5</v>
      </c>
      <c r="C4" t="s">
        <v>6</v>
      </c>
      <c r="D4">
        <v>1</v>
      </c>
    </row>
    <row r="5">
      <c r="A5" t="s">
        <v>9</v>
      </c>
      <c r="B5" t="s">
        <v>5</v>
      </c>
      <c r="C5" t="s">
        <v>6</v>
      </c>
      <c r="D5">
        <v>1</v>
      </c>
    </row>
    <row r="6">
      <c r="A6" t="s">
        <v>10</v>
      </c>
      <c r="B6" t="s">
        <v>5</v>
      </c>
      <c r="C6" t="s">
        <v>6</v>
      </c>
      <c r="D6">
        <v>1</v>
      </c>
    </row>
    <row r="7">
      <c r="A7" t="s">
        <v>11</v>
      </c>
      <c r="B7" t="s">
        <v>5</v>
      </c>
      <c r="C7" t="s">
        <v>6</v>
      </c>
      <c r="D7">
        <v>1</v>
      </c>
    </row>
    <row r="8">
      <c r="A8" t="s">
        <v>12</v>
      </c>
      <c r="B8" t="s">
        <v>5</v>
      </c>
      <c r="C8" t="s">
        <v>6</v>
      </c>
      <c r="D8">
        <v>1</v>
      </c>
    </row>
    <row r="9">
      <c r="A9" t="s">
        <v>4</v>
      </c>
      <c r="B9" t="s">
        <v>13</v>
      </c>
      <c r="C9" t="s">
        <v>6</v>
      </c>
      <c r="D9">
        <v>1</v>
      </c>
    </row>
    <row r="10">
      <c r="A10" t="s">
        <v>7</v>
      </c>
      <c r="B10" t="s">
        <v>13</v>
      </c>
      <c r="C10" t="s">
        <v>6</v>
      </c>
      <c r="D10">
        <v>1</v>
      </c>
    </row>
    <row r="11">
      <c r="A11" t="s">
        <v>8</v>
      </c>
      <c r="B11" t="s">
        <v>13</v>
      </c>
      <c r="C11" t="s">
        <v>6</v>
      </c>
      <c r="D11">
        <v>1</v>
      </c>
    </row>
    <row r="12">
      <c r="A12" t="s">
        <v>9</v>
      </c>
      <c r="B12" t="s">
        <v>13</v>
      </c>
      <c r="C12" t="s">
        <v>6</v>
      </c>
      <c r="D12">
        <v>1</v>
      </c>
    </row>
    <row r="13">
      <c r="A13" t="s">
        <v>10</v>
      </c>
      <c r="B13" t="s">
        <v>13</v>
      </c>
      <c r="C13" t="s">
        <v>6</v>
      </c>
      <c r="D13">
        <v>1</v>
      </c>
    </row>
    <row r="14">
      <c r="A14" t="s">
        <v>11</v>
      </c>
      <c r="B14" t="s">
        <v>13</v>
      </c>
      <c r="C14" t="s">
        <v>6</v>
      </c>
      <c r="D14">
        <v>1</v>
      </c>
    </row>
    <row r="15">
      <c r="A15" t="s">
        <v>12</v>
      </c>
      <c r="B15" t="s">
        <v>13</v>
      </c>
      <c r="C15" t="s">
        <v>6</v>
      </c>
      <c r="D15">
        <v>1</v>
      </c>
    </row>
    <row r="16">
      <c r="A16" t="s">
        <v>4</v>
      </c>
      <c r="B16" t="s">
        <v>14</v>
      </c>
      <c r="C16" t="s">
        <v>6</v>
      </c>
      <c r="D16">
        <v>1</v>
      </c>
    </row>
    <row r="17">
      <c r="A17" t="s">
        <v>7</v>
      </c>
      <c r="B17" t="s">
        <v>14</v>
      </c>
      <c r="C17" t="s">
        <v>6</v>
      </c>
      <c r="D17">
        <v>1</v>
      </c>
    </row>
    <row r="18">
      <c r="A18" t="s">
        <v>8</v>
      </c>
      <c r="B18" t="s">
        <v>14</v>
      </c>
      <c r="C18" t="s">
        <v>6</v>
      </c>
      <c r="D18">
        <v>1</v>
      </c>
    </row>
    <row r="19">
      <c r="A19" t="s">
        <v>9</v>
      </c>
      <c r="B19" t="s">
        <v>14</v>
      </c>
      <c r="C19" t="s">
        <v>6</v>
      </c>
      <c r="D19">
        <v>1</v>
      </c>
    </row>
    <row r="20">
      <c r="A20" t="s">
        <v>10</v>
      </c>
      <c r="B20" t="s">
        <v>14</v>
      </c>
      <c r="C20" t="s">
        <v>6</v>
      </c>
      <c r="D20">
        <v>1</v>
      </c>
    </row>
    <row r="21">
      <c r="A21" t="s">
        <v>11</v>
      </c>
      <c r="B21" t="s">
        <v>14</v>
      </c>
      <c r="C21" t="s">
        <v>6</v>
      </c>
      <c r="D21">
        <v>1</v>
      </c>
    </row>
    <row r="22">
      <c r="A22" t="s">
        <v>12</v>
      </c>
      <c r="B22" t="s">
        <v>14</v>
      </c>
      <c r="C22" t="s">
        <v>6</v>
      </c>
      <c r="D22">
        <v>1</v>
      </c>
    </row>
    <row r="23">
      <c r="A23" t="s">
        <v>4</v>
      </c>
      <c r="B23" t="s">
        <v>5</v>
      </c>
      <c r="C23" t="s">
        <v>15</v>
      </c>
      <c r="D23">
        <v>1</v>
      </c>
    </row>
    <row r="24">
      <c r="A24" t="s">
        <v>7</v>
      </c>
      <c r="B24" t="s">
        <v>5</v>
      </c>
      <c r="C24" t="s">
        <v>15</v>
      </c>
      <c r="D24">
        <v>1</v>
      </c>
    </row>
    <row r="25">
      <c r="A25" t="s">
        <v>8</v>
      </c>
      <c r="B25" t="s">
        <v>5</v>
      </c>
      <c r="C25" t="s">
        <v>15</v>
      </c>
      <c r="D25">
        <v>1</v>
      </c>
    </row>
    <row r="26">
      <c r="A26" t="s">
        <v>9</v>
      </c>
      <c r="B26" t="s">
        <v>5</v>
      </c>
      <c r="C26" t="s">
        <v>15</v>
      </c>
      <c r="D26">
        <v>1</v>
      </c>
    </row>
    <row r="27">
      <c r="A27" t="s">
        <v>10</v>
      </c>
      <c r="B27" t="s">
        <v>5</v>
      </c>
      <c r="C27" t="s">
        <v>15</v>
      </c>
      <c r="D27">
        <v>1</v>
      </c>
    </row>
    <row r="28">
      <c r="A28" t="s">
        <v>11</v>
      </c>
      <c r="B28" t="s">
        <v>5</v>
      </c>
      <c r="C28" t="s">
        <v>15</v>
      </c>
      <c r="D28">
        <v>1</v>
      </c>
    </row>
    <row r="29">
      <c r="A29" t="s">
        <v>12</v>
      </c>
      <c r="B29" t="s">
        <v>5</v>
      </c>
      <c r="C29" t="s">
        <v>15</v>
      </c>
      <c r="D29">
        <v>1</v>
      </c>
    </row>
    <row r="30">
      <c r="A30" t="s">
        <v>4</v>
      </c>
      <c r="B30" t="s">
        <v>13</v>
      </c>
      <c r="C30" t="s">
        <v>15</v>
      </c>
      <c r="D30">
        <v>1</v>
      </c>
    </row>
    <row r="31">
      <c r="A31" t="s">
        <v>7</v>
      </c>
      <c r="B31" t="s">
        <v>13</v>
      </c>
      <c r="C31" t="s">
        <v>15</v>
      </c>
      <c r="D31">
        <v>1</v>
      </c>
    </row>
    <row r="32">
      <c r="A32" t="s">
        <v>8</v>
      </c>
      <c r="B32" t="s">
        <v>13</v>
      </c>
      <c r="C32" t="s">
        <v>15</v>
      </c>
      <c r="D32">
        <v>1</v>
      </c>
    </row>
    <row r="33">
      <c r="A33" t="s">
        <v>9</v>
      </c>
      <c r="B33" t="s">
        <v>13</v>
      </c>
      <c r="C33" t="s">
        <v>15</v>
      </c>
      <c r="D33">
        <v>1</v>
      </c>
    </row>
    <row r="34">
      <c r="A34" t="s">
        <v>10</v>
      </c>
      <c r="B34" t="s">
        <v>13</v>
      </c>
      <c r="C34" t="s">
        <v>15</v>
      </c>
      <c r="D34">
        <v>1</v>
      </c>
    </row>
    <row r="35">
      <c r="A35" t="s">
        <v>11</v>
      </c>
      <c r="B35" t="s">
        <v>13</v>
      </c>
      <c r="C35" t="s">
        <v>15</v>
      </c>
      <c r="D35">
        <v>1</v>
      </c>
    </row>
    <row r="36">
      <c r="A36" t="s">
        <v>12</v>
      </c>
      <c r="B36" t="s">
        <v>13</v>
      </c>
      <c r="C36" t="s">
        <v>15</v>
      </c>
      <c r="D36">
        <v>1</v>
      </c>
    </row>
    <row r="37">
      <c r="A37" t="s">
        <v>4</v>
      </c>
      <c r="B37" t="s">
        <v>14</v>
      </c>
      <c r="C37" t="s">
        <v>15</v>
      </c>
      <c r="D37">
        <v>1</v>
      </c>
    </row>
    <row r="38">
      <c r="A38" t="s">
        <v>7</v>
      </c>
      <c r="B38" t="s">
        <v>14</v>
      </c>
      <c r="C38" t="s">
        <v>15</v>
      </c>
      <c r="D38">
        <v>1</v>
      </c>
    </row>
    <row r="39">
      <c r="A39" t="s">
        <v>8</v>
      </c>
      <c r="B39" t="s">
        <v>14</v>
      </c>
      <c r="C39" t="s">
        <v>15</v>
      </c>
      <c r="D39">
        <v>1</v>
      </c>
    </row>
    <row r="40">
      <c r="A40" t="s">
        <v>9</v>
      </c>
      <c r="B40" t="s">
        <v>14</v>
      </c>
      <c r="C40" t="s">
        <v>15</v>
      </c>
      <c r="D40">
        <v>1</v>
      </c>
    </row>
    <row r="41">
      <c r="A41" t="s">
        <v>10</v>
      </c>
      <c r="B41" t="s">
        <v>14</v>
      </c>
      <c r="C41" t="s">
        <v>15</v>
      </c>
      <c r="D41">
        <v>1</v>
      </c>
    </row>
    <row r="42">
      <c r="A42" t="s">
        <v>11</v>
      </c>
      <c r="B42" t="s">
        <v>14</v>
      </c>
      <c r="C42" t="s">
        <v>15</v>
      </c>
      <c r="D42">
        <v>1</v>
      </c>
    </row>
    <row r="43">
      <c r="A43" t="s">
        <v>12</v>
      </c>
      <c r="B43" t="s">
        <v>14</v>
      </c>
      <c r="C43" t="s">
        <v>15</v>
      </c>
      <c r="D43">
        <v>1</v>
      </c>
    </row>
    <row r="44">
      <c r="A44" t="s">
        <v>4</v>
      </c>
      <c r="B44" t="s">
        <v>5</v>
      </c>
      <c r="C44" t="s">
        <v>16</v>
      </c>
      <c r="D44">
        <v>1</v>
      </c>
    </row>
    <row r="45">
      <c r="A45" t="s">
        <v>7</v>
      </c>
      <c r="B45" t="s">
        <v>5</v>
      </c>
      <c r="C45" t="s">
        <v>16</v>
      </c>
      <c r="D45">
        <v>1</v>
      </c>
    </row>
    <row r="46">
      <c r="A46" t="s">
        <v>8</v>
      </c>
      <c r="B46" t="s">
        <v>5</v>
      </c>
      <c r="C46" t="s">
        <v>16</v>
      </c>
      <c r="D46">
        <v>1</v>
      </c>
    </row>
    <row r="47">
      <c r="A47" t="s">
        <v>9</v>
      </c>
      <c r="B47" t="s">
        <v>5</v>
      </c>
      <c r="C47" t="s">
        <v>16</v>
      </c>
      <c r="D47">
        <v>1</v>
      </c>
    </row>
    <row r="48">
      <c r="A48" t="s">
        <v>10</v>
      </c>
      <c r="B48" t="s">
        <v>5</v>
      </c>
      <c r="C48" t="s">
        <v>16</v>
      </c>
      <c r="D48">
        <v>1</v>
      </c>
    </row>
    <row r="49">
      <c r="A49" t="s">
        <v>11</v>
      </c>
      <c r="B49" t="s">
        <v>5</v>
      </c>
      <c r="C49" t="s">
        <v>16</v>
      </c>
      <c r="D49">
        <v>1</v>
      </c>
    </row>
    <row r="50">
      <c r="A50" t="s">
        <v>12</v>
      </c>
      <c r="B50" t="s">
        <v>5</v>
      </c>
      <c r="C50" t="s">
        <v>16</v>
      </c>
      <c r="D50">
        <v>1</v>
      </c>
    </row>
    <row r="51">
      <c r="A51" t="s">
        <v>4</v>
      </c>
      <c r="B51" t="s">
        <v>13</v>
      </c>
      <c r="C51" t="s">
        <v>16</v>
      </c>
      <c r="D51">
        <v>1</v>
      </c>
    </row>
    <row r="52">
      <c r="A52" t="s">
        <v>7</v>
      </c>
      <c r="B52" t="s">
        <v>13</v>
      </c>
      <c r="C52" t="s">
        <v>16</v>
      </c>
      <c r="D52">
        <v>1</v>
      </c>
    </row>
    <row r="53">
      <c r="A53" t="s">
        <v>8</v>
      </c>
      <c r="B53" t="s">
        <v>13</v>
      </c>
      <c r="C53" t="s">
        <v>16</v>
      </c>
      <c r="D53">
        <v>1</v>
      </c>
    </row>
    <row r="54">
      <c r="A54" t="s">
        <v>9</v>
      </c>
      <c r="B54" t="s">
        <v>13</v>
      </c>
      <c r="C54" t="s">
        <v>16</v>
      </c>
      <c r="D54">
        <v>1</v>
      </c>
    </row>
    <row r="55">
      <c r="A55" t="s">
        <v>10</v>
      </c>
      <c r="B55" t="s">
        <v>13</v>
      </c>
      <c r="C55" t="s">
        <v>16</v>
      </c>
      <c r="D55">
        <v>1</v>
      </c>
    </row>
    <row r="56">
      <c r="A56" t="s">
        <v>11</v>
      </c>
      <c r="B56" t="s">
        <v>13</v>
      </c>
      <c r="C56" t="s">
        <v>16</v>
      </c>
      <c r="D56">
        <v>1</v>
      </c>
    </row>
    <row r="57">
      <c r="A57" t="s">
        <v>12</v>
      </c>
      <c r="B57" t="s">
        <v>13</v>
      </c>
      <c r="C57" t="s">
        <v>16</v>
      </c>
      <c r="D57">
        <v>1</v>
      </c>
    </row>
    <row r="58">
      <c r="A58" t="s">
        <v>4</v>
      </c>
      <c r="B58" t="s">
        <v>14</v>
      </c>
      <c r="C58" t="s">
        <v>16</v>
      </c>
      <c r="D58">
        <v>1</v>
      </c>
    </row>
    <row r="59">
      <c r="A59" t="s">
        <v>7</v>
      </c>
      <c r="B59" t="s">
        <v>14</v>
      </c>
      <c r="C59" t="s">
        <v>16</v>
      </c>
      <c r="D59">
        <v>1</v>
      </c>
    </row>
    <row r="60">
      <c r="A60" t="s">
        <v>8</v>
      </c>
      <c r="B60" t="s">
        <v>14</v>
      </c>
      <c r="C60" t="s">
        <v>16</v>
      </c>
      <c r="D60">
        <v>1</v>
      </c>
    </row>
    <row r="61">
      <c r="A61" t="s">
        <v>9</v>
      </c>
      <c r="B61" t="s">
        <v>14</v>
      </c>
      <c r="C61" t="s">
        <v>16</v>
      </c>
      <c r="D61">
        <v>1</v>
      </c>
    </row>
    <row r="62">
      <c r="A62" t="s">
        <v>10</v>
      </c>
      <c r="B62" t="s">
        <v>14</v>
      </c>
      <c r="C62" t="s">
        <v>16</v>
      </c>
      <c r="D62">
        <v>1</v>
      </c>
    </row>
    <row r="63">
      <c r="A63" t="s">
        <v>11</v>
      </c>
      <c r="B63" t="s">
        <v>14</v>
      </c>
      <c r="C63" t="s">
        <v>16</v>
      </c>
      <c r="D63">
        <v>1</v>
      </c>
    </row>
    <row r="64">
      <c r="A64" t="s">
        <v>12</v>
      </c>
      <c r="B64" t="s">
        <v>14</v>
      </c>
      <c r="C64" t="s">
        <v>16</v>
      </c>
      <c r="D64">
        <v>1</v>
      </c>
    </row>
  </sheetData>
</worksheet>
</file>

<file path=xl/worksheets/sheet2.xml><?xml version="1.0" encoding="utf-8"?>
<worksheet xmlns="http://schemas.openxmlformats.org/spreadsheetml/2006/main">
  <dimension ref="A1"/>
  <sheetViews>
    <sheetView workbookViewId="0"/>
  </sheetViews>
  <sheetData>
    <row r="1">
      <c r="A1" t="s">
        <v>17</v>
      </c>
      <c r="B1" t="s">
        <v>1</v>
      </c>
      <c r="C1" t="s">
        <v>3</v>
      </c>
    </row>
    <row r="2">
      <c r="A2" t="s">
        <v>5</v>
      </c>
      <c r="B2" t="s">
        <v>5</v>
      </c>
      <c r="C2">
        <v>1</v>
      </c>
    </row>
    <row r="3">
      <c r="A3" t="s">
        <v>13</v>
      </c>
      <c r="B3" t="s">
        <v>13</v>
      </c>
      <c r="C3">
        <v>0.8</v>
      </c>
    </row>
    <row r="4">
      <c r="A4" t="s">
        <v>14</v>
      </c>
      <c r="B4" t="s">
        <v>14</v>
      </c>
      <c r="C4">
        <v>0.9</v>
      </c>
    </row>
  </sheetData>
</worksheet>
</file>

<file path=xl/worksheets/sheet3.xml><?xml version="1.0" encoding="utf-8"?>
<worksheet xmlns="http://schemas.openxmlformats.org/spreadsheetml/2006/main">
  <dimension ref="A1"/>
  <sheetViews>
    <sheetView workbookViewId="0"/>
  </sheetViews>
  <sheetData>
    <row r="1">
      <c r="A1" t="s">
        <v>2</v>
      </c>
      <c r="B1" t="s">
        <v>1</v>
      </c>
      <c r="C1" t="s">
        <v>0</v>
      </c>
      <c r="D1" t="s">
        <v>18</v>
      </c>
      <c r="E1" t="s">
        <v>19</v>
      </c>
      <c r="F1" t="s">
        <v>3</v>
      </c>
      <c r="G1" t="s">
        <v>20</v>
      </c>
      <c r="H1" t="s">
        <v>21</v>
      </c>
    </row>
    <row r="2">
      <c r="A2" t="s">
        <v>6</v>
      </c>
      <c r="B2" t="s">
        <v>5</v>
      </c>
      <c r="C2" t="s">
        <v>4</v>
      </c>
      <c r="D2" t="str">
        <f>raw_strength!D2</f>
      </c>
      <c r="E2" t="s">
        <v>22</v>
      </c>
      <c r="F2">
        <v>1</v>
      </c>
      <c r="G2" t="str">
        <f>(D2*VLOOKUP(B2,strength_adjusted_for_material!A:C,3,FALSE))</f>
      </c>
      <c r="H2" t="str">
        <f>IF(ABS(F2-G2)&lt;0.000000001,"OK","Not A Match")</f>
      </c>
    </row>
    <row r="3">
      <c r="A3" t="s">
        <v>6</v>
      </c>
      <c r="B3" t="s">
        <v>5</v>
      </c>
      <c r="C3" t="s">
        <v>7</v>
      </c>
      <c r="D3" t="str">
        <f>raw_strength!D3</f>
      </c>
      <c r="E3" t="s">
        <v>22</v>
      </c>
      <c r="F3">
        <v>1</v>
      </c>
      <c r="G3" t="str">
        <f>(D3*VLOOKUP(B3,strength_adjusted_for_material!A:C,3,FALSE))</f>
      </c>
      <c r="H3" t="str">
        <f>IF(ABS(F3-G3)&lt;0.000000001,"OK","Not A Match")</f>
      </c>
    </row>
    <row r="4">
      <c r="A4" t="s">
        <v>6</v>
      </c>
      <c r="B4" t="s">
        <v>5</v>
      </c>
      <c r="C4" t="s">
        <v>8</v>
      </c>
      <c r="D4" t="str">
        <f>raw_strength!D4</f>
      </c>
      <c r="E4" t="s">
        <v>22</v>
      </c>
      <c r="F4">
        <v>1</v>
      </c>
      <c r="G4" t="str">
        <f>(D4*VLOOKUP(B4,strength_adjusted_for_material!A:C,3,FALSE))</f>
      </c>
      <c r="H4" t="str">
        <f>IF(ABS(F4-G4)&lt;0.000000001,"OK","Not A Match")</f>
      </c>
    </row>
    <row r="5">
      <c r="A5" t="s">
        <v>6</v>
      </c>
      <c r="B5" t="s">
        <v>5</v>
      </c>
      <c r="C5" t="s">
        <v>9</v>
      </c>
      <c r="D5" t="str">
        <f>raw_strength!D5</f>
      </c>
      <c r="E5" t="s">
        <v>22</v>
      </c>
      <c r="F5">
        <v>1</v>
      </c>
      <c r="G5" t="str">
        <f>(D5*VLOOKUP(B5,strength_adjusted_for_material!A:C,3,FALSE))</f>
      </c>
      <c r="H5" t="str">
        <f>IF(ABS(F5-G5)&lt;0.000000001,"OK","Not A Match")</f>
      </c>
    </row>
    <row r="6">
      <c r="A6" t="s">
        <v>6</v>
      </c>
      <c r="B6" t="s">
        <v>5</v>
      </c>
      <c r="C6" t="s">
        <v>10</v>
      </c>
      <c r="D6" t="str">
        <f>raw_strength!D6</f>
      </c>
      <c r="E6" t="s">
        <v>22</v>
      </c>
      <c r="F6">
        <v>1</v>
      </c>
      <c r="G6" t="str">
        <f>(D6*VLOOKUP(B6,strength_adjusted_for_material!A:C,3,FALSE))</f>
      </c>
      <c r="H6" t="str">
        <f>IF(ABS(F6-G6)&lt;0.000000001,"OK","Not A Match")</f>
      </c>
    </row>
    <row r="7">
      <c r="A7" t="s">
        <v>6</v>
      </c>
      <c r="B7" t="s">
        <v>5</v>
      </c>
      <c r="C7" t="s">
        <v>11</v>
      </c>
      <c r="D7" t="str">
        <f>raw_strength!D7</f>
      </c>
      <c r="E7" t="s">
        <v>22</v>
      </c>
      <c r="F7">
        <v>1</v>
      </c>
      <c r="G7" t="str">
        <f>(D7*VLOOKUP(B7,strength_adjusted_for_material!A:C,3,FALSE))</f>
      </c>
      <c r="H7" t="str">
        <f>IF(ABS(F7-G7)&lt;0.000000001,"OK","Not A Match")</f>
      </c>
    </row>
    <row r="8">
      <c r="A8" t="s">
        <v>6</v>
      </c>
      <c r="B8" t="s">
        <v>5</v>
      </c>
      <c r="C8" t="s">
        <v>12</v>
      </c>
      <c r="D8" t="str">
        <f>raw_strength!D8</f>
      </c>
      <c r="E8" t="s">
        <v>22</v>
      </c>
      <c r="F8">
        <v>1</v>
      </c>
      <c r="G8" t="str">
        <f>(D8*VLOOKUP(B8,strength_adjusted_for_material!A:C,3,FALSE))</f>
      </c>
      <c r="H8" t="str">
        <f>IF(ABS(F8-G8)&lt;0.000000001,"OK","Not A Match")</f>
      </c>
    </row>
    <row r="9">
      <c r="A9" t="s">
        <v>6</v>
      </c>
      <c r="B9" t="s">
        <v>13</v>
      </c>
      <c r="C9" t="s">
        <v>4</v>
      </c>
      <c r="D9" t="str">
        <f>raw_strength!D9</f>
      </c>
      <c r="E9" t="s">
        <v>22</v>
      </c>
      <c r="F9">
        <v>0.8</v>
      </c>
      <c r="G9" t="str">
        <f>(D9*VLOOKUP(B9,strength_adjusted_for_material!A:C,3,FALSE))</f>
      </c>
      <c r="H9" t="str">
        <f>IF(ABS(F9-G9)&lt;0.000000001,"OK","Not A Match")</f>
      </c>
    </row>
    <row r="10">
      <c r="A10" t="s">
        <v>6</v>
      </c>
      <c r="B10" t="s">
        <v>13</v>
      </c>
      <c r="C10" t="s">
        <v>7</v>
      </c>
      <c r="D10" t="str">
        <f>raw_strength!D10</f>
      </c>
      <c r="E10" t="s">
        <v>22</v>
      </c>
      <c r="F10">
        <v>0.8</v>
      </c>
      <c r="G10" t="str">
        <f>(D10*VLOOKUP(B10,strength_adjusted_for_material!A:C,3,FALSE))</f>
      </c>
      <c r="H10" t="str">
        <f>IF(ABS(F10-G10)&lt;0.000000001,"OK","Not A Match")</f>
      </c>
    </row>
    <row r="11">
      <c r="A11" t="s">
        <v>6</v>
      </c>
      <c r="B11" t="s">
        <v>13</v>
      </c>
      <c r="C11" t="s">
        <v>8</v>
      </c>
      <c r="D11" t="str">
        <f>raw_strength!D11</f>
      </c>
      <c r="E11" t="s">
        <v>22</v>
      </c>
      <c r="F11">
        <v>0.8</v>
      </c>
      <c r="G11" t="str">
        <f>(D11*VLOOKUP(B11,strength_adjusted_for_material!A:C,3,FALSE))</f>
      </c>
      <c r="H11" t="str">
        <f>IF(ABS(F11-G11)&lt;0.000000001,"OK","Not A Match")</f>
      </c>
    </row>
    <row r="12">
      <c r="A12" t="s">
        <v>6</v>
      </c>
      <c r="B12" t="s">
        <v>13</v>
      </c>
      <c r="C12" t="s">
        <v>9</v>
      </c>
      <c r="D12" t="str">
        <f>raw_strength!D12</f>
      </c>
      <c r="E12" t="s">
        <v>22</v>
      </c>
      <c r="F12">
        <v>0.8</v>
      </c>
      <c r="G12" t="str">
        <f>(D12*VLOOKUP(B12,strength_adjusted_for_material!A:C,3,FALSE))</f>
      </c>
      <c r="H12" t="str">
        <f>IF(ABS(F12-G12)&lt;0.000000001,"OK","Not A Match")</f>
      </c>
    </row>
    <row r="13">
      <c r="A13" t="s">
        <v>6</v>
      </c>
      <c r="B13" t="s">
        <v>13</v>
      </c>
      <c r="C13" t="s">
        <v>10</v>
      </c>
      <c r="D13" t="str">
        <f>raw_strength!D13</f>
      </c>
      <c r="E13" t="s">
        <v>22</v>
      </c>
      <c r="F13">
        <v>0.8</v>
      </c>
      <c r="G13" t="str">
        <f>(D13*VLOOKUP(B13,strength_adjusted_for_material!A:C,3,FALSE))</f>
      </c>
      <c r="H13" t="str">
        <f>IF(ABS(F13-G13)&lt;0.000000001,"OK","Not A Match")</f>
      </c>
    </row>
    <row r="14">
      <c r="A14" t="s">
        <v>6</v>
      </c>
      <c r="B14" t="s">
        <v>13</v>
      </c>
      <c r="C14" t="s">
        <v>11</v>
      </c>
      <c r="D14" t="str">
        <f>raw_strength!D14</f>
      </c>
      <c r="E14" t="s">
        <v>22</v>
      </c>
      <c r="F14">
        <v>0.8</v>
      </c>
      <c r="G14" t="str">
        <f>(D14*VLOOKUP(B14,strength_adjusted_for_material!A:C,3,FALSE))</f>
      </c>
      <c r="H14" t="str">
        <f>IF(ABS(F14-G14)&lt;0.000000001,"OK","Not A Match")</f>
      </c>
    </row>
    <row r="15">
      <c r="A15" t="s">
        <v>6</v>
      </c>
      <c r="B15" t="s">
        <v>13</v>
      </c>
      <c r="C15" t="s">
        <v>12</v>
      </c>
      <c r="D15" t="str">
        <f>raw_strength!D15</f>
      </c>
      <c r="E15" t="s">
        <v>22</v>
      </c>
      <c r="F15">
        <v>0.8</v>
      </c>
      <c r="G15" t="str">
        <f>(D15*VLOOKUP(B15,strength_adjusted_for_material!A:C,3,FALSE))</f>
      </c>
      <c r="H15" t="str">
        <f>IF(ABS(F15-G15)&lt;0.000000001,"OK","Not A Match")</f>
      </c>
    </row>
    <row r="16">
      <c r="A16" t="s">
        <v>6</v>
      </c>
      <c r="B16" t="s">
        <v>14</v>
      </c>
      <c r="C16" t="s">
        <v>4</v>
      </c>
      <c r="D16" t="str">
        <f>raw_strength!D16</f>
      </c>
      <c r="E16" t="s">
        <v>22</v>
      </c>
      <c r="F16">
        <v>0.9</v>
      </c>
      <c r="G16" t="str">
        <f>(D16*VLOOKUP(B16,strength_adjusted_for_material!A:C,3,FALSE))</f>
      </c>
      <c r="H16" t="str">
        <f>IF(ABS(F16-G16)&lt;0.000000001,"OK","Not A Match")</f>
      </c>
    </row>
    <row r="17">
      <c r="A17" t="s">
        <v>6</v>
      </c>
      <c r="B17" t="s">
        <v>14</v>
      </c>
      <c r="C17" t="s">
        <v>7</v>
      </c>
      <c r="D17" t="str">
        <f>raw_strength!D17</f>
      </c>
      <c r="E17" t="s">
        <v>22</v>
      </c>
      <c r="F17">
        <v>0.9</v>
      </c>
      <c r="G17" t="str">
        <f>(D17*VLOOKUP(B17,strength_adjusted_for_material!A:C,3,FALSE))</f>
      </c>
      <c r="H17" t="str">
        <f>IF(ABS(F17-G17)&lt;0.000000001,"OK","Not A Match")</f>
      </c>
    </row>
    <row r="18">
      <c r="A18" t="s">
        <v>6</v>
      </c>
      <c r="B18" t="s">
        <v>14</v>
      </c>
      <c r="C18" t="s">
        <v>8</v>
      </c>
      <c r="D18" t="str">
        <f>raw_strength!D18</f>
      </c>
      <c r="E18" t="s">
        <v>22</v>
      </c>
      <c r="F18">
        <v>0.9</v>
      </c>
      <c r="G18" t="str">
        <f>(D18*VLOOKUP(B18,strength_adjusted_for_material!A:C,3,FALSE))</f>
      </c>
      <c r="H18" t="str">
        <f>IF(ABS(F18-G18)&lt;0.000000001,"OK","Not A Match")</f>
      </c>
    </row>
    <row r="19">
      <c r="A19" t="s">
        <v>6</v>
      </c>
      <c r="B19" t="s">
        <v>14</v>
      </c>
      <c r="C19" t="s">
        <v>9</v>
      </c>
      <c r="D19" t="str">
        <f>raw_strength!D19</f>
      </c>
      <c r="E19" t="s">
        <v>22</v>
      </c>
      <c r="F19">
        <v>0.9</v>
      </c>
      <c r="G19" t="str">
        <f>(D19*VLOOKUP(B19,strength_adjusted_for_material!A:C,3,FALSE))</f>
      </c>
      <c r="H19" t="str">
        <f>IF(ABS(F19-G19)&lt;0.000000001,"OK","Not A Match")</f>
      </c>
    </row>
    <row r="20">
      <c r="A20" t="s">
        <v>6</v>
      </c>
      <c r="B20" t="s">
        <v>14</v>
      </c>
      <c r="C20" t="s">
        <v>10</v>
      </c>
      <c r="D20" t="str">
        <f>raw_strength!D20</f>
      </c>
      <c r="E20" t="s">
        <v>22</v>
      </c>
      <c r="F20">
        <v>0.9</v>
      </c>
      <c r="G20" t="str">
        <f>(D20*VLOOKUP(B20,strength_adjusted_for_material!A:C,3,FALSE))</f>
      </c>
      <c r="H20" t="str">
        <f>IF(ABS(F20-G20)&lt;0.000000001,"OK","Not A Match")</f>
      </c>
    </row>
    <row r="21">
      <c r="A21" t="s">
        <v>6</v>
      </c>
      <c r="B21" t="s">
        <v>14</v>
      </c>
      <c r="C21" t="s">
        <v>11</v>
      </c>
      <c r="D21" t="str">
        <f>raw_strength!D21</f>
      </c>
      <c r="E21" t="s">
        <v>22</v>
      </c>
      <c r="F21">
        <v>0.9</v>
      </c>
      <c r="G21" t="str">
        <f>(D21*VLOOKUP(B21,strength_adjusted_for_material!A:C,3,FALSE))</f>
      </c>
      <c r="H21" t="str">
        <f>IF(ABS(F21-G21)&lt;0.000000001,"OK","Not A Match")</f>
      </c>
    </row>
    <row r="22">
      <c r="A22" t="s">
        <v>6</v>
      </c>
      <c r="B22" t="s">
        <v>14</v>
      </c>
      <c r="C22" t="s">
        <v>12</v>
      </c>
      <c r="D22" t="str">
        <f>raw_strength!D22</f>
      </c>
      <c r="E22" t="s">
        <v>22</v>
      </c>
      <c r="F22">
        <v>0.9</v>
      </c>
      <c r="G22" t="str">
        <f>(D22*VLOOKUP(B22,strength_adjusted_for_material!A:C,3,FALSE))</f>
      </c>
      <c r="H22" t="str">
        <f>IF(ABS(F22-G22)&lt;0.000000001,"OK","Not A Match")</f>
      </c>
    </row>
    <row r="23">
      <c r="A23" t="s">
        <v>15</v>
      </c>
      <c r="B23" t="s">
        <v>5</v>
      </c>
      <c r="C23" t="s">
        <v>4</v>
      </c>
      <c r="D23" t="str">
        <f>raw_strength!D23</f>
      </c>
      <c r="E23" t="s">
        <v>22</v>
      </c>
      <c r="F23">
        <v>1</v>
      </c>
      <c r="G23" t="str">
        <f>(D23*VLOOKUP(B23,strength_adjusted_for_material!A:C,3,FALSE))</f>
      </c>
      <c r="H23" t="str">
        <f>IF(ABS(F23-G23)&lt;0.000000001,"OK","Not A Match")</f>
      </c>
    </row>
    <row r="24">
      <c r="A24" t="s">
        <v>15</v>
      </c>
      <c r="B24" t="s">
        <v>5</v>
      </c>
      <c r="C24" t="s">
        <v>7</v>
      </c>
      <c r="D24" t="str">
        <f>raw_strength!D24</f>
      </c>
      <c r="E24" t="s">
        <v>22</v>
      </c>
      <c r="F24">
        <v>1</v>
      </c>
      <c r="G24" t="str">
        <f>(D24*VLOOKUP(B24,strength_adjusted_for_material!A:C,3,FALSE))</f>
      </c>
      <c r="H24" t="str">
        <f>IF(ABS(F24-G24)&lt;0.000000001,"OK","Not A Match")</f>
      </c>
    </row>
    <row r="25">
      <c r="A25" t="s">
        <v>15</v>
      </c>
      <c r="B25" t="s">
        <v>5</v>
      </c>
      <c r="C25" t="s">
        <v>8</v>
      </c>
      <c r="D25" t="str">
        <f>raw_strength!D25</f>
      </c>
      <c r="E25" t="s">
        <v>22</v>
      </c>
      <c r="F25">
        <v>1</v>
      </c>
      <c r="G25" t="str">
        <f>(D25*VLOOKUP(B25,strength_adjusted_for_material!A:C,3,FALSE))</f>
      </c>
      <c r="H25" t="str">
        <f>IF(ABS(F25-G25)&lt;0.000000001,"OK","Not A Match")</f>
      </c>
    </row>
    <row r="26">
      <c r="A26" t="s">
        <v>15</v>
      </c>
      <c r="B26" t="s">
        <v>5</v>
      </c>
      <c r="C26" t="s">
        <v>9</v>
      </c>
      <c r="D26" t="str">
        <f>raw_strength!D26</f>
      </c>
      <c r="E26" t="s">
        <v>22</v>
      </c>
      <c r="F26">
        <v>1</v>
      </c>
      <c r="G26" t="str">
        <f>(D26*VLOOKUP(B26,strength_adjusted_for_material!A:C,3,FALSE))</f>
      </c>
      <c r="H26" t="str">
        <f>IF(ABS(F26-G26)&lt;0.000000001,"OK","Not A Match")</f>
      </c>
    </row>
    <row r="27">
      <c r="A27" t="s">
        <v>15</v>
      </c>
      <c r="B27" t="s">
        <v>5</v>
      </c>
      <c r="C27" t="s">
        <v>10</v>
      </c>
      <c r="D27" t="str">
        <f>raw_strength!D27</f>
      </c>
      <c r="E27" t="s">
        <v>22</v>
      </c>
      <c r="F27">
        <v>1</v>
      </c>
      <c r="G27" t="str">
        <f>(D27*VLOOKUP(B27,strength_adjusted_for_material!A:C,3,FALSE))</f>
      </c>
      <c r="H27" t="str">
        <f>IF(ABS(F27-G27)&lt;0.000000001,"OK","Not A Match")</f>
      </c>
    </row>
    <row r="28">
      <c r="A28" t="s">
        <v>15</v>
      </c>
      <c r="B28" t="s">
        <v>5</v>
      </c>
      <c r="C28" t="s">
        <v>11</v>
      </c>
      <c r="D28" t="str">
        <f>raw_strength!D28</f>
      </c>
      <c r="E28" t="s">
        <v>22</v>
      </c>
      <c r="F28">
        <v>1</v>
      </c>
      <c r="G28" t="str">
        <f>(D28*VLOOKUP(B28,strength_adjusted_for_material!A:C,3,FALSE))</f>
      </c>
      <c r="H28" t="str">
        <f>IF(ABS(F28-G28)&lt;0.000000001,"OK","Not A Match")</f>
      </c>
    </row>
    <row r="29">
      <c r="A29" t="s">
        <v>15</v>
      </c>
      <c r="B29" t="s">
        <v>5</v>
      </c>
      <c r="C29" t="s">
        <v>12</v>
      </c>
      <c r="D29" t="str">
        <f>raw_strength!D29</f>
      </c>
      <c r="E29" t="s">
        <v>22</v>
      </c>
      <c r="F29">
        <v>1</v>
      </c>
      <c r="G29" t="str">
        <f>(D29*VLOOKUP(B29,strength_adjusted_for_material!A:C,3,FALSE))</f>
      </c>
      <c r="H29" t="str">
        <f>IF(ABS(F29-G29)&lt;0.000000001,"OK","Not A Match")</f>
      </c>
    </row>
    <row r="30">
      <c r="A30" t="s">
        <v>15</v>
      </c>
      <c r="B30" t="s">
        <v>13</v>
      </c>
      <c r="C30" t="s">
        <v>4</v>
      </c>
      <c r="D30" t="str">
        <f>raw_strength!D30</f>
      </c>
      <c r="E30" t="s">
        <v>22</v>
      </c>
      <c r="F30">
        <v>0.8</v>
      </c>
      <c r="G30" t="str">
        <f>(D30*VLOOKUP(B30,strength_adjusted_for_material!A:C,3,FALSE))</f>
      </c>
      <c r="H30" t="str">
        <f>IF(ABS(F30-G30)&lt;0.000000001,"OK","Not A Match")</f>
      </c>
    </row>
    <row r="31">
      <c r="A31" t="s">
        <v>15</v>
      </c>
      <c r="B31" t="s">
        <v>13</v>
      </c>
      <c r="C31" t="s">
        <v>7</v>
      </c>
      <c r="D31" t="str">
        <f>raw_strength!D31</f>
      </c>
      <c r="E31" t="s">
        <v>22</v>
      </c>
      <c r="F31">
        <v>0.8</v>
      </c>
      <c r="G31" t="str">
        <f>(D31*VLOOKUP(B31,strength_adjusted_for_material!A:C,3,FALSE))</f>
      </c>
      <c r="H31" t="str">
        <f>IF(ABS(F31-G31)&lt;0.000000001,"OK","Not A Match")</f>
      </c>
    </row>
    <row r="32">
      <c r="A32" t="s">
        <v>15</v>
      </c>
      <c r="B32" t="s">
        <v>13</v>
      </c>
      <c r="C32" t="s">
        <v>8</v>
      </c>
      <c r="D32" t="str">
        <f>raw_strength!D32</f>
      </c>
      <c r="E32" t="s">
        <v>22</v>
      </c>
      <c r="F32">
        <v>0.8</v>
      </c>
      <c r="G32" t="str">
        <f>(D32*VLOOKUP(B32,strength_adjusted_for_material!A:C,3,FALSE))</f>
      </c>
      <c r="H32" t="str">
        <f>IF(ABS(F32-G32)&lt;0.000000001,"OK","Not A Match")</f>
      </c>
    </row>
    <row r="33">
      <c r="A33" t="s">
        <v>15</v>
      </c>
      <c r="B33" t="s">
        <v>13</v>
      </c>
      <c r="C33" t="s">
        <v>9</v>
      </c>
      <c r="D33" t="str">
        <f>raw_strength!D33</f>
      </c>
      <c r="E33" t="s">
        <v>22</v>
      </c>
      <c r="F33">
        <v>0.8</v>
      </c>
      <c r="G33" t="str">
        <f>(D33*VLOOKUP(B33,strength_adjusted_for_material!A:C,3,FALSE))</f>
      </c>
      <c r="H33" t="str">
        <f>IF(ABS(F33-G33)&lt;0.000000001,"OK","Not A Match")</f>
      </c>
    </row>
    <row r="34">
      <c r="A34" t="s">
        <v>15</v>
      </c>
      <c r="B34" t="s">
        <v>13</v>
      </c>
      <c r="C34" t="s">
        <v>10</v>
      </c>
      <c r="D34" t="str">
        <f>raw_strength!D34</f>
      </c>
      <c r="E34" t="s">
        <v>22</v>
      </c>
      <c r="F34">
        <v>0.8</v>
      </c>
      <c r="G34" t="str">
        <f>(D34*VLOOKUP(B34,strength_adjusted_for_material!A:C,3,FALSE))</f>
      </c>
      <c r="H34" t="str">
        <f>IF(ABS(F34-G34)&lt;0.000000001,"OK","Not A Match")</f>
      </c>
    </row>
    <row r="35">
      <c r="A35" t="s">
        <v>15</v>
      </c>
      <c r="B35" t="s">
        <v>13</v>
      </c>
      <c r="C35" t="s">
        <v>11</v>
      </c>
      <c r="D35" t="str">
        <f>raw_strength!D35</f>
      </c>
      <c r="E35" t="s">
        <v>22</v>
      </c>
      <c r="F35">
        <v>0.8</v>
      </c>
      <c r="G35" t="str">
        <f>(D35*VLOOKUP(B35,strength_adjusted_for_material!A:C,3,FALSE))</f>
      </c>
      <c r="H35" t="str">
        <f>IF(ABS(F35-G35)&lt;0.000000001,"OK","Not A Match")</f>
      </c>
    </row>
    <row r="36">
      <c r="A36" t="s">
        <v>15</v>
      </c>
      <c r="B36" t="s">
        <v>13</v>
      </c>
      <c r="C36" t="s">
        <v>12</v>
      </c>
      <c r="D36" t="str">
        <f>raw_strength!D36</f>
      </c>
      <c r="E36" t="s">
        <v>22</v>
      </c>
      <c r="F36">
        <v>0.8</v>
      </c>
      <c r="G36" t="str">
        <f>(D36*VLOOKUP(B36,strength_adjusted_for_material!A:C,3,FALSE))</f>
      </c>
      <c r="H36" t="str">
        <f>IF(ABS(F36-G36)&lt;0.000000001,"OK","Not A Match")</f>
      </c>
    </row>
    <row r="37">
      <c r="A37" t="s">
        <v>15</v>
      </c>
      <c r="B37" t="s">
        <v>14</v>
      </c>
      <c r="C37" t="s">
        <v>4</v>
      </c>
      <c r="D37" t="str">
        <f>raw_strength!D37</f>
      </c>
      <c r="E37" t="s">
        <v>22</v>
      </c>
      <c r="F37">
        <v>0.9</v>
      </c>
      <c r="G37" t="str">
        <f>(D37*VLOOKUP(B37,strength_adjusted_for_material!A:C,3,FALSE))</f>
      </c>
      <c r="H37" t="str">
        <f>IF(ABS(F37-G37)&lt;0.000000001,"OK","Not A Match")</f>
      </c>
    </row>
    <row r="38">
      <c r="A38" t="s">
        <v>15</v>
      </c>
      <c r="B38" t="s">
        <v>14</v>
      </c>
      <c r="C38" t="s">
        <v>7</v>
      </c>
      <c r="D38" t="str">
        <f>raw_strength!D38</f>
      </c>
      <c r="E38" t="s">
        <v>22</v>
      </c>
      <c r="F38">
        <v>0.9</v>
      </c>
      <c r="G38" t="str">
        <f>(D38*VLOOKUP(B38,strength_adjusted_for_material!A:C,3,FALSE))</f>
      </c>
      <c r="H38" t="str">
        <f>IF(ABS(F38-G38)&lt;0.000000001,"OK","Not A Match")</f>
      </c>
    </row>
    <row r="39">
      <c r="A39" t="s">
        <v>15</v>
      </c>
      <c r="B39" t="s">
        <v>14</v>
      </c>
      <c r="C39" t="s">
        <v>8</v>
      </c>
      <c r="D39" t="str">
        <f>raw_strength!D39</f>
      </c>
      <c r="E39" t="s">
        <v>22</v>
      </c>
      <c r="F39">
        <v>0.9</v>
      </c>
      <c r="G39" t="str">
        <f>(D39*VLOOKUP(B39,strength_adjusted_for_material!A:C,3,FALSE))</f>
      </c>
      <c r="H39" t="str">
        <f>IF(ABS(F39-G39)&lt;0.000000001,"OK","Not A Match")</f>
      </c>
    </row>
    <row r="40">
      <c r="A40" t="s">
        <v>15</v>
      </c>
      <c r="B40" t="s">
        <v>14</v>
      </c>
      <c r="C40" t="s">
        <v>9</v>
      </c>
      <c r="D40" t="str">
        <f>raw_strength!D40</f>
      </c>
      <c r="E40" t="s">
        <v>22</v>
      </c>
      <c r="F40">
        <v>0.9</v>
      </c>
      <c r="G40" t="str">
        <f>(D40*VLOOKUP(B40,strength_adjusted_for_material!A:C,3,FALSE))</f>
      </c>
      <c r="H40" t="str">
        <f>IF(ABS(F40-G40)&lt;0.000000001,"OK","Not A Match")</f>
      </c>
    </row>
    <row r="41">
      <c r="A41" t="s">
        <v>15</v>
      </c>
      <c r="B41" t="s">
        <v>14</v>
      </c>
      <c r="C41" t="s">
        <v>10</v>
      </c>
      <c r="D41" t="str">
        <f>raw_strength!D41</f>
      </c>
      <c r="E41" t="s">
        <v>22</v>
      </c>
      <c r="F41">
        <v>0.9</v>
      </c>
      <c r="G41" t="str">
        <f>(D41*VLOOKUP(B41,strength_adjusted_for_material!A:C,3,FALSE))</f>
      </c>
      <c r="H41" t="str">
        <f>IF(ABS(F41-G41)&lt;0.000000001,"OK","Not A Match")</f>
      </c>
    </row>
    <row r="42">
      <c r="A42" t="s">
        <v>15</v>
      </c>
      <c r="B42" t="s">
        <v>14</v>
      </c>
      <c r="C42" t="s">
        <v>11</v>
      </c>
      <c r="D42" t="str">
        <f>raw_strength!D42</f>
      </c>
      <c r="E42" t="s">
        <v>22</v>
      </c>
      <c r="F42">
        <v>0.9</v>
      </c>
      <c r="G42" t="str">
        <f>(D42*VLOOKUP(B42,strength_adjusted_for_material!A:C,3,FALSE))</f>
      </c>
      <c r="H42" t="str">
        <f>IF(ABS(F42-G42)&lt;0.000000001,"OK","Not A Match")</f>
      </c>
    </row>
    <row r="43">
      <c r="A43" t="s">
        <v>15</v>
      </c>
      <c r="B43" t="s">
        <v>14</v>
      </c>
      <c r="C43" t="s">
        <v>12</v>
      </c>
      <c r="D43" t="str">
        <f>raw_strength!D43</f>
      </c>
      <c r="E43" t="s">
        <v>22</v>
      </c>
      <c r="F43">
        <v>0.9</v>
      </c>
      <c r="G43" t="str">
        <f>(D43*VLOOKUP(B43,strength_adjusted_for_material!A:C,3,FALSE))</f>
      </c>
      <c r="H43" t="str">
        <f>IF(ABS(F43-G43)&lt;0.000000001,"OK","Not A Match")</f>
      </c>
    </row>
    <row r="44">
      <c r="A44" t="s">
        <v>16</v>
      </c>
      <c r="B44" t="s">
        <v>5</v>
      </c>
      <c r="C44" t="s">
        <v>4</v>
      </c>
      <c r="D44" t="str">
        <f>raw_strength!D44</f>
      </c>
      <c r="E44" t="s">
        <v>22</v>
      </c>
      <c r="F44">
        <v>1</v>
      </c>
      <c r="G44" t="str">
        <f>(D44*VLOOKUP(B44,strength_adjusted_for_material!A:C,3,FALSE))</f>
      </c>
      <c r="H44" t="str">
        <f>IF(ABS(F44-G44)&lt;0.000000001,"OK","Not A Match")</f>
      </c>
    </row>
    <row r="45">
      <c r="A45" t="s">
        <v>16</v>
      </c>
      <c r="B45" t="s">
        <v>5</v>
      </c>
      <c r="C45" t="s">
        <v>7</v>
      </c>
      <c r="D45" t="str">
        <f>raw_strength!D45</f>
      </c>
      <c r="E45" t="s">
        <v>22</v>
      </c>
      <c r="F45">
        <v>1</v>
      </c>
      <c r="G45" t="str">
        <f>(D45*VLOOKUP(B45,strength_adjusted_for_material!A:C,3,FALSE))</f>
      </c>
      <c r="H45" t="str">
        <f>IF(ABS(F45-G45)&lt;0.000000001,"OK","Not A Match")</f>
      </c>
    </row>
    <row r="46">
      <c r="A46" t="s">
        <v>16</v>
      </c>
      <c r="B46" t="s">
        <v>5</v>
      </c>
      <c r="C46" t="s">
        <v>8</v>
      </c>
      <c r="D46" t="str">
        <f>raw_strength!D46</f>
      </c>
      <c r="E46" t="s">
        <v>22</v>
      </c>
      <c r="F46">
        <v>1</v>
      </c>
      <c r="G46" t="str">
        <f>(D46*VLOOKUP(B46,strength_adjusted_for_material!A:C,3,FALSE))</f>
      </c>
      <c r="H46" t="str">
        <f>IF(ABS(F46-G46)&lt;0.000000001,"OK","Not A Match")</f>
      </c>
    </row>
    <row r="47">
      <c r="A47" t="s">
        <v>16</v>
      </c>
      <c r="B47" t="s">
        <v>5</v>
      </c>
      <c r="C47" t="s">
        <v>9</v>
      </c>
      <c r="D47" t="str">
        <f>raw_strength!D47</f>
      </c>
      <c r="E47" t="s">
        <v>22</v>
      </c>
      <c r="F47">
        <v>1</v>
      </c>
      <c r="G47" t="str">
        <f>(D47*VLOOKUP(B47,strength_adjusted_for_material!A:C,3,FALSE))</f>
      </c>
      <c r="H47" t="str">
        <f>IF(ABS(F47-G47)&lt;0.000000001,"OK","Not A Match")</f>
      </c>
    </row>
    <row r="48">
      <c r="A48" t="s">
        <v>16</v>
      </c>
      <c r="B48" t="s">
        <v>5</v>
      </c>
      <c r="C48" t="s">
        <v>10</v>
      </c>
      <c r="D48" t="str">
        <f>raw_strength!D48</f>
      </c>
      <c r="E48" t="s">
        <v>22</v>
      </c>
      <c r="F48">
        <v>1</v>
      </c>
      <c r="G48" t="str">
        <f>(D48*VLOOKUP(B48,strength_adjusted_for_material!A:C,3,FALSE))</f>
      </c>
      <c r="H48" t="str">
        <f>IF(ABS(F48-G48)&lt;0.000000001,"OK","Not A Match")</f>
      </c>
    </row>
    <row r="49">
      <c r="A49" t="s">
        <v>16</v>
      </c>
      <c r="B49" t="s">
        <v>5</v>
      </c>
      <c r="C49" t="s">
        <v>11</v>
      </c>
      <c r="D49" t="str">
        <f>raw_strength!D49</f>
      </c>
      <c r="E49" t="s">
        <v>22</v>
      </c>
      <c r="F49">
        <v>1</v>
      </c>
      <c r="G49" t="str">
        <f>(D49*VLOOKUP(B49,strength_adjusted_for_material!A:C,3,FALSE))</f>
      </c>
      <c r="H49" t="str">
        <f>IF(ABS(F49-G49)&lt;0.000000001,"OK","Not A Match")</f>
      </c>
    </row>
    <row r="50">
      <c r="A50" t="s">
        <v>16</v>
      </c>
      <c r="B50" t="s">
        <v>5</v>
      </c>
      <c r="C50" t="s">
        <v>12</v>
      </c>
      <c r="D50" t="str">
        <f>raw_strength!D50</f>
      </c>
      <c r="E50" t="s">
        <v>22</v>
      </c>
      <c r="F50">
        <v>1</v>
      </c>
      <c r="G50" t="str">
        <f>(D50*VLOOKUP(B50,strength_adjusted_for_material!A:C,3,FALSE))</f>
      </c>
      <c r="H50" t="str">
        <f>IF(ABS(F50-G50)&lt;0.000000001,"OK","Not A Match")</f>
      </c>
    </row>
    <row r="51">
      <c r="A51" t="s">
        <v>16</v>
      </c>
      <c r="B51" t="s">
        <v>13</v>
      </c>
      <c r="C51" t="s">
        <v>4</v>
      </c>
      <c r="D51" t="str">
        <f>raw_strength!D51</f>
      </c>
      <c r="E51" t="s">
        <v>22</v>
      </c>
      <c r="F51">
        <v>0.8</v>
      </c>
      <c r="G51" t="str">
        <f>(D51*VLOOKUP(B51,strength_adjusted_for_material!A:C,3,FALSE))</f>
      </c>
      <c r="H51" t="str">
        <f>IF(ABS(F51-G51)&lt;0.000000001,"OK","Not A Match")</f>
      </c>
    </row>
    <row r="52">
      <c r="A52" t="s">
        <v>16</v>
      </c>
      <c r="B52" t="s">
        <v>13</v>
      </c>
      <c r="C52" t="s">
        <v>7</v>
      </c>
      <c r="D52" t="str">
        <f>raw_strength!D52</f>
      </c>
      <c r="E52" t="s">
        <v>22</v>
      </c>
      <c r="F52">
        <v>0.8</v>
      </c>
      <c r="G52" t="str">
        <f>(D52*VLOOKUP(B52,strength_adjusted_for_material!A:C,3,FALSE))</f>
      </c>
      <c r="H52" t="str">
        <f>IF(ABS(F52-G52)&lt;0.000000001,"OK","Not A Match")</f>
      </c>
    </row>
    <row r="53">
      <c r="A53" t="s">
        <v>16</v>
      </c>
      <c r="B53" t="s">
        <v>13</v>
      </c>
      <c r="C53" t="s">
        <v>8</v>
      </c>
      <c r="D53" t="str">
        <f>raw_strength!D53</f>
      </c>
      <c r="E53" t="s">
        <v>22</v>
      </c>
      <c r="F53">
        <v>0.8</v>
      </c>
      <c r="G53" t="str">
        <f>(D53*VLOOKUP(B53,strength_adjusted_for_material!A:C,3,FALSE))</f>
      </c>
      <c r="H53" t="str">
        <f>IF(ABS(F53-G53)&lt;0.000000001,"OK","Not A Match")</f>
      </c>
    </row>
    <row r="54">
      <c r="A54" t="s">
        <v>16</v>
      </c>
      <c r="B54" t="s">
        <v>13</v>
      </c>
      <c r="C54" t="s">
        <v>9</v>
      </c>
      <c r="D54" t="str">
        <f>raw_strength!D54</f>
      </c>
      <c r="E54" t="s">
        <v>22</v>
      </c>
      <c r="F54">
        <v>0.8</v>
      </c>
      <c r="G54" t="str">
        <f>(D54*VLOOKUP(B54,strength_adjusted_for_material!A:C,3,FALSE))</f>
      </c>
      <c r="H54" t="str">
        <f>IF(ABS(F54-G54)&lt;0.000000001,"OK","Not A Match")</f>
      </c>
    </row>
    <row r="55">
      <c r="A55" t="s">
        <v>16</v>
      </c>
      <c r="B55" t="s">
        <v>13</v>
      </c>
      <c r="C55" t="s">
        <v>10</v>
      </c>
      <c r="D55" t="str">
        <f>raw_strength!D55</f>
      </c>
      <c r="E55" t="s">
        <v>22</v>
      </c>
      <c r="F55">
        <v>0.8</v>
      </c>
      <c r="G55" t="str">
        <f>(D55*VLOOKUP(B55,strength_adjusted_for_material!A:C,3,FALSE))</f>
      </c>
      <c r="H55" t="str">
        <f>IF(ABS(F55-G55)&lt;0.000000001,"OK","Not A Match")</f>
      </c>
    </row>
    <row r="56">
      <c r="A56" t="s">
        <v>16</v>
      </c>
      <c r="B56" t="s">
        <v>13</v>
      </c>
      <c r="C56" t="s">
        <v>11</v>
      </c>
      <c r="D56" t="str">
        <f>raw_strength!D56</f>
      </c>
      <c r="E56" t="s">
        <v>22</v>
      </c>
      <c r="F56">
        <v>0.8</v>
      </c>
      <c r="G56" t="str">
        <f>(D56*VLOOKUP(B56,strength_adjusted_for_material!A:C,3,FALSE))</f>
      </c>
      <c r="H56" t="str">
        <f>IF(ABS(F56-G56)&lt;0.000000001,"OK","Not A Match")</f>
      </c>
    </row>
    <row r="57">
      <c r="A57" t="s">
        <v>16</v>
      </c>
      <c r="B57" t="s">
        <v>13</v>
      </c>
      <c r="C57" t="s">
        <v>12</v>
      </c>
      <c r="D57" t="str">
        <f>raw_strength!D57</f>
      </c>
      <c r="E57" t="s">
        <v>22</v>
      </c>
      <c r="F57">
        <v>0.8</v>
      </c>
      <c r="G57" t="str">
        <f>(D57*VLOOKUP(B57,strength_adjusted_for_material!A:C,3,FALSE))</f>
      </c>
      <c r="H57" t="str">
        <f>IF(ABS(F57-G57)&lt;0.000000001,"OK","Not A Match")</f>
      </c>
    </row>
    <row r="58">
      <c r="A58" t="s">
        <v>16</v>
      </c>
      <c r="B58" t="s">
        <v>14</v>
      </c>
      <c r="C58" t="s">
        <v>4</v>
      </c>
      <c r="D58" t="str">
        <f>raw_strength!D58</f>
      </c>
      <c r="E58" t="s">
        <v>22</v>
      </c>
      <c r="F58">
        <v>0.9</v>
      </c>
      <c r="G58" t="str">
        <f>(D58*VLOOKUP(B58,strength_adjusted_for_material!A:C,3,FALSE))</f>
      </c>
      <c r="H58" t="str">
        <f>IF(ABS(F58-G58)&lt;0.000000001,"OK","Not A Match")</f>
      </c>
    </row>
    <row r="59">
      <c r="A59" t="s">
        <v>16</v>
      </c>
      <c r="B59" t="s">
        <v>14</v>
      </c>
      <c r="C59" t="s">
        <v>7</v>
      </c>
      <c r="D59" t="str">
        <f>raw_strength!D59</f>
      </c>
      <c r="E59" t="s">
        <v>22</v>
      </c>
      <c r="F59">
        <v>0.9</v>
      </c>
      <c r="G59" t="str">
        <f>(D59*VLOOKUP(B59,strength_adjusted_for_material!A:C,3,FALSE))</f>
      </c>
      <c r="H59" t="str">
        <f>IF(ABS(F59-G59)&lt;0.000000001,"OK","Not A Match")</f>
      </c>
    </row>
    <row r="60">
      <c r="A60" t="s">
        <v>16</v>
      </c>
      <c r="B60" t="s">
        <v>14</v>
      </c>
      <c r="C60" t="s">
        <v>8</v>
      </c>
      <c r="D60" t="str">
        <f>raw_strength!D60</f>
      </c>
      <c r="E60" t="s">
        <v>22</v>
      </c>
      <c r="F60">
        <v>0.9</v>
      </c>
      <c r="G60" t="str">
        <f>(D60*VLOOKUP(B60,strength_adjusted_for_material!A:C,3,FALSE))</f>
      </c>
      <c r="H60" t="str">
        <f>IF(ABS(F60-G60)&lt;0.000000001,"OK","Not A Match")</f>
      </c>
    </row>
    <row r="61">
      <c r="A61" t="s">
        <v>16</v>
      </c>
      <c r="B61" t="s">
        <v>14</v>
      </c>
      <c r="C61" t="s">
        <v>9</v>
      </c>
      <c r="D61" t="str">
        <f>raw_strength!D61</f>
      </c>
      <c r="E61" t="s">
        <v>22</v>
      </c>
      <c r="F61">
        <v>0.9</v>
      </c>
      <c r="G61" t="str">
        <f>(D61*VLOOKUP(B61,strength_adjusted_for_material!A:C,3,FALSE))</f>
      </c>
      <c r="H61" t="str">
        <f>IF(ABS(F61-G61)&lt;0.000000001,"OK","Not A Match")</f>
      </c>
    </row>
    <row r="62">
      <c r="A62" t="s">
        <v>16</v>
      </c>
      <c r="B62" t="s">
        <v>14</v>
      </c>
      <c r="C62" t="s">
        <v>10</v>
      </c>
      <c r="D62" t="str">
        <f>raw_strength!D62</f>
      </c>
      <c r="E62" t="s">
        <v>22</v>
      </c>
      <c r="F62">
        <v>0.9</v>
      </c>
      <c r="G62" t="str">
        <f>(D62*VLOOKUP(B62,strength_adjusted_for_material!A:C,3,FALSE))</f>
      </c>
      <c r="H62" t="str">
        <f>IF(ABS(F62-G62)&lt;0.000000001,"OK","Not A Match")</f>
      </c>
    </row>
    <row r="63">
      <c r="A63" t="s">
        <v>16</v>
      </c>
      <c r="B63" t="s">
        <v>14</v>
      </c>
      <c r="C63" t="s">
        <v>11</v>
      </c>
      <c r="D63" t="str">
        <f>raw_strength!D63</f>
      </c>
      <c r="E63" t="s">
        <v>22</v>
      </c>
      <c r="F63">
        <v>0.9</v>
      </c>
      <c r="G63" t="str">
        <f>(D63*VLOOKUP(B63,strength_adjusted_for_material!A:C,3,FALSE))</f>
      </c>
      <c r="H63" t="str">
        <f>IF(ABS(F63-G63)&lt;0.000000001,"OK","Not A Match")</f>
      </c>
    </row>
    <row r="64">
      <c r="A64" t="s">
        <v>16</v>
      </c>
      <c r="B64" t="s">
        <v>14</v>
      </c>
      <c r="C64" t="s">
        <v>12</v>
      </c>
      <c r="D64" t="str">
        <f>raw_strength!D64</f>
      </c>
      <c r="E64" t="s">
        <v>22</v>
      </c>
      <c r="F64">
        <v>0.9</v>
      </c>
      <c r="G64" t="str">
        <f>(D64*VLOOKUP(B64,strength_adjusted_for_material!A:C,3,FALSE))</f>
      </c>
      <c r="H64" t="str">
        <f>IF(ABS(F64-G64)&lt;0.000000001,"OK","Not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